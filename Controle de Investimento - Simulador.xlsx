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\Desktop\Portifólio Excel-Dashboards\"/>
    </mc:Choice>
  </mc:AlternateContent>
  <xr:revisionPtr revIDLastSave="0" documentId="13_ncr:1_{4408E0D3-167D-42C3-99EA-95D3B6BCF838}" xr6:coauthVersionLast="47" xr6:coauthVersionMax="47" xr10:uidLastSave="{00000000-0000-0000-0000-000000000000}"/>
  <bookViews>
    <workbookView xWindow="-120" yWindow="-120" windowWidth="20730" windowHeight="11760" tabRatio="315" firstSheet="4" activeTab="4" xr2:uid="{AB8F4D6B-A372-4D88-A008-FD14A3626465}"/>
  </bookViews>
  <sheets>
    <sheet name="Simulador - Patrimonio, Cenário" sheetId="1" state="hidden" r:id="rId1"/>
    <sheet name="Simulador - Variaveis Globais" sheetId="2" state="hidden" r:id="rId2"/>
    <sheet name="Simulador - Nomeando intervalos" sheetId="3" state="hidden" r:id="rId3"/>
    <sheet name="Tabela Apoio - Perfil" sheetId="5" state="hidden" r:id="rId4"/>
    <sheet name="Simulador APP Perfil Investidor" sheetId="4" r:id="rId5"/>
  </sheets>
  <definedNames>
    <definedName name="Aporte" localSheetId="4">'Simulador APP Perfil Investidor'!$D$16</definedName>
    <definedName name="Aporte">'Simulador - Nomeando intervalos'!$D$15</definedName>
    <definedName name="Dividendos_Mensais" localSheetId="4">'Simulador APP Perfil Investidor'!$D$20</definedName>
    <definedName name="Dividendos_Mensais">'Simulador - Nomeando intervalos'!$D$19</definedName>
    <definedName name="Patrimonio" localSheetId="4">'Simulador APP Perfil Investidor'!$D$19</definedName>
    <definedName name="Patrimonio">'Simulador - Nomeando intervalos'!$D$18</definedName>
    <definedName name="Qtd_Anos" localSheetId="4">'Simulador APP Perfil Investidor'!$D$17</definedName>
    <definedName name="Qtd_Anos">'Simulador - Nomeando intervalos'!$D$16</definedName>
    <definedName name="Rendimento_Carteira" localSheetId="4">'Simulador APP Perfil Investidor'!$D$12</definedName>
    <definedName name="Rendimento_Carteira">'Simulador - Nomeando intervalos'!$D$11</definedName>
    <definedName name="Salario" localSheetId="4">'Simulador APP Perfil Investidor'!$D$11</definedName>
    <definedName name="Salario">'Simulador - Nomeando intervalos'!$D$10</definedName>
    <definedName name="Sugestao_Investimento" localSheetId="4">'Simulador APP Perfil Investidor'!$D$13</definedName>
    <definedName name="Sugestao_Investimento">'Simulador - Nomeando intervalos'!$D$12</definedName>
    <definedName name="Taxa_Mensal" localSheetId="4">'Simulador APP Perfil Investidor'!$D$18</definedName>
    <definedName name="Taxa_Mensal">'Simulador - Nomeando intervalos'!$D$17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4" l="1"/>
  <c r="A16" i="5"/>
  <c r="A17" i="5"/>
  <c r="A18" i="5"/>
  <c r="A19" i="5"/>
  <c r="A20" i="5"/>
  <c r="A15" i="5"/>
  <c r="A10" i="5"/>
  <c r="A11" i="5"/>
  <c r="A12" i="5"/>
  <c r="A13" i="5"/>
  <c r="A14" i="5"/>
  <c r="A9" i="5"/>
  <c r="C35" i="4"/>
  <c r="C30" i="4"/>
  <c r="C33" i="4"/>
  <c r="C34" i="4"/>
  <c r="C36" i="4"/>
  <c r="C37" i="4"/>
  <c r="C32" i="4"/>
  <c r="A4" i="5"/>
  <c r="A5" i="5"/>
  <c r="A6" i="5"/>
  <c r="A7" i="5"/>
  <c r="A8" i="5"/>
  <c r="A3" i="5"/>
  <c r="D33" i="4"/>
  <c r="D34" i="4"/>
  <c r="D35" i="4"/>
  <c r="D36" i="4"/>
  <c r="D37" i="4"/>
  <c r="D32" i="4"/>
  <c r="D38" i="4" s="1"/>
  <c r="C27" i="4"/>
  <c r="D27" i="4" s="1"/>
  <c r="C26" i="4"/>
  <c r="D26" i="4" s="1"/>
  <c r="C25" i="4"/>
  <c r="D25" i="4" s="1"/>
  <c r="C24" i="4"/>
  <c r="D24" i="4" s="1"/>
  <c r="C23" i="4"/>
  <c r="D23" i="4" s="1"/>
  <c r="D20" i="4"/>
  <c r="D13" i="4"/>
  <c r="D18" i="3"/>
  <c r="D19" i="3" s="1"/>
  <c r="C26" i="3"/>
  <c r="D26" i="3" s="1"/>
  <c r="C25" i="3"/>
  <c r="D25" i="3" s="1"/>
  <c r="C24" i="3"/>
  <c r="D24" i="3" s="1"/>
  <c r="C23" i="3"/>
  <c r="D23" i="3" s="1"/>
  <c r="C22" i="3"/>
  <c r="D22" i="3" s="1"/>
  <c r="D12" i="3"/>
  <c r="C17" i="2"/>
  <c r="D21" i="2"/>
  <c r="D22" i="2"/>
  <c r="D23" i="2"/>
  <c r="D24" i="2"/>
  <c r="D20" i="2"/>
  <c r="F15" i="2"/>
  <c r="C24" i="2"/>
  <c r="C23" i="2"/>
  <c r="C22" i="2"/>
  <c r="C21" i="2"/>
  <c r="C20" i="2"/>
  <c r="C16" i="2"/>
  <c r="D20" i="1"/>
  <c r="C21" i="1"/>
  <c r="D21" i="1" s="1"/>
  <c r="C22" i="1"/>
  <c r="D22" i="1" s="1"/>
  <c r="C23" i="1"/>
  <c r="D23" i="1" s="1"/>
  <c r="C24" i="1"/>
  <c r="D24" i="1" s="1"/>
  <c r="C20" i="1"/>
  <c r="C16" i="1"/>
  <c r="C17" i="1" s="1"/>
</calcChain>
</file>

<file path=xl/sharedStrings.xml><?xml version="1.0" encoding="utf-8"?>
<sst xmlns="http://schemas.openxmlformats.org/spreadsheetml/2006/main" count="118" uniqueCount="35">
  <si>
    <t>Quanto investir por mês?</t>
  </si>
  <si>
    <t>Por quantos anos?</t>
  </si>
  <si>
    <t>Taxa de Rendimento Mensal?</t>
  </si>
  <si>
    <t>Patrimonio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</si>
  <si>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</si>
  <si>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</si>
  <si>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</si>
  <si>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</si>
  <si>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</si>
  <si>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</si>
  <si>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</si>
  <si>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</si>
  <si>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</si>
  <si>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</si>
  <si>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</si>
  <si>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</si>
  <si>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</si>
  <si>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CONFIGURAÇÕES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</si>
  <si>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</si>
  <si>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</si>
  <si>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</si>
  <si>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</si>
  <si>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</si>
  <si>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</si>
  <si>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</si>
  <si>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</si>
  <si>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</si>
  <si>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</si>
  <si>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</si>
  <si>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</si>
  <si>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</si>
  <si>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</si>
  <si>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</si>
  <si>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Agressivo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</si>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</sst>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rgb="FF996633"/>
      <name val="Dreaming Outloud Pro"/>
      <family val="4"/>
    </font>
    <font>
      <sz val="13"/>
      <color rgb="FF996633"/>
      <name val="Dreaming Outloud Pro"/>
      <family val="4"/>
    </font>
    <font>
      <b/>
      <sz val="13"/>
      <color rgb="FF996633"/>
      <name val="Dreaming Outloud Pro"/>
      <family val="4"/>
    </font>
    <font>
      <b/>
      <sz val="16"/>
      <color rgb="FF996633"/>
      <name val="Dreaming Outloud Pro"/>
      <family val="4"/>
    </font>
    <font>
      <sz val="11"/>
      <color rgb="FF996633"/>
      <name val="Dreaming Outloud Pro"/>
      <family val="4"/>
    </font>
    <font>
      <b/>
      <sz val="16"/>
      <color rgb="FF996633"/>
      <name val="Century Gothic"/>
      <family val="2"/>
    </font>
    <font>
      <sz val="12"/>
      <color rgb="FF996633"/>
      <name val="Century Gothic"/>
      <family val="2"/>
    </font>
    <font>
      <b/>
      <sz val="12"/>
      <color rgb="FF996633"/>
      <name val="Century Gothic"/>
      <family val="2"/>
    </font>
    <font>
      <sz val="11"/>
      <color theme="1"/>
      <name val="Century Gothic"/>
      <family val="2"/>
    </font>
    <font>
      <b/>
      <sz val="14"/>
      <color rgb="FF996633"/>
      <name val="Century Gothic"/>
      <family val="2"/>
    </font>
    <font>
      <sz val="14"/>
      <color rgb="FF996633"/>
      <name val="Century Gothic"/>
      <family val="2"/>
    </font>
    <font>
      <b/>
      <sz val="11"/>
      <color theme="0"/>
      <name val="Century Gothic"/>
      <family val="2"/>
    </font>
    <font>
      <sz val="11"/>
      <color rgb="FF996633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rgb="FF996633"/>
      </left>
      <right/>
      <top style="medium">
        <color rgb="FF996633"/>
      </top>
      <bottom/>
      <diagonal/>
    </border>
    <border>
      <left/>
      <right style="medium">
        <color rgb="FF996633"/>
      </right>
      <top style="medium">
        <color rgb="FF996633"/>
      </top>
      <bottom/>
      <diagonal/>
    </border>
    <border>
      <left style="medium">
        <color rgb="FF996633"/>
      </left>
      <right/>
      <top/>
      <bottom/>
      <diagonal/>
    </border>
    <border>
      <left/>
      <right style="medium">
        <color rgb="FF996633"/>
      </right>
      <top/>
      <bottom style="medium">
        <color rgb="FF99663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rgb="FF996633"/>
      </top>
      <bottom/>
      <diagonal/>
    </border>
    <border>
      <left style="medium">
        <color rgb="FF996633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rgb="FF996633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996633"/>
      </left>
      <right style="medium">
        <color theme="0" tint="-0.14999847407452621"/>
      </right>
      <top style="medium">
        <color theme="0" tint="-0.14999847407452621"/>
      </top>
      <bottom style="medium">
        <color rgb="FF99663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rgb="FF996633"/>
      </bottom>
      <diagonal/>
    </border>
    <border>
      <left style="medium">
        <color theme="0" tint="-0.14999847407452621"/>
      </left>
      <right style="medium">
        <color rgb="FF996633"/>
      </right>
      <top style="medium">
        <color theme="0" tint="-0.14999847407452621"/>
      </top>
      <bottom style="medium">
        <color rgb="FF996633"/>
      </bottom>
      <diagonal/>
    </border>
    <border>
      <left style="medium">
        <color rgb="FF996633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 style="medium">
        <color rgb="FF996633"/>
      </right>
      <top/>
      <bottom style="medium">
        <color theme="0" tint="-0.14999847407452621"/>
      </bottom>
      <diagonal/>
    </border>
    <border>
      <left/>
      <right style="medium">
        <color rgb="FF996633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996633"/>
      </left>
      <right style="medium">
        <color theme="0" tint="-0.14999847407452621"/>
      </right>
      <top/>
      <bottom style="medium">
        <color rgb="FF996633"/>
      </bottom>
      <diagonal/>
    </border>
    <border>
      <left style="medium">
        <color rgb="FF996633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rgb="FF996633"/>
      </right>
      <top/>
      <bottom style="medium">
        <color theme="2" tint="-9.9948118533890809E-2"/>
      </bottom>
      <diagonal/>
    </border>
    <border>
      <left style="medium">
        <color rgb="FF996633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rgb="FF996633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rgb="FF996633"/>
      </left>
      <right style="medium">
        <color theme="2" tint="-9.9948118533890809E-2"/>
      </right>
      <top style="medium">
        <color theme="2" tint="-9.9948118533890809E-2"/>
      </top>
      <bottom style="medium">
        <color rgb="FF996633"/>
      </bottom>
      <diagonal/>
    </border>
    <border>
      <left style="medium">
        <color theme="2" tint="-9.9948118533890809E-2"/>
      </left>
      <right style="medium">
        <color rgb="FF996633"/>
      </right>
      <top style="medium">
        <color theme="2" tint="-9.9948118533890809E-2"/>
      </top>
      <bottom style="medium">
        <color rgb="FF996633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rgb="FF996633"/>
      </bottom>
      <diagonal/>
    </border>
    <border>
      <left/>
      <right/>
      <top/>
      <bottom style="medium">
        <color rgb="FF99663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996633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996633"/>
      </right>
      <top/>
      <bottom style="thin">
        <color theme="0" tint="-0.14996795556505021"/>
      </bottom>
      <diagonal/>
    </border>
    <border>
      <left style="medium">
        <color rgb="FF996633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996633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996633"/>
      </left>
      <right style="thin">
        <color theme="0" tint="-0.14996795556505021"/>
      </right>
      <top style="thin">
        <color theme="0" tint="-0.14996795556505021"/>
      </top>
      <bottom style="medium">
        <color rgb="FF99663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996633"/>
      </bottom>
      <diagonal/>
    </border>
    <border>
      <left style="thin">
        <color theme="0" tint="-0.14996795556505021"/>
      </left>
      <right style="medium">
        <color rgb="FF996633"/>
      </right>
      <top style="thin">
        <color theme="0" tint="-0.14996795556505021"/>
      </top>
      <bottom style="medium">
        <color rgb="FF99663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/>
    </xf>
    <xf numFmtId="44" fontId="6" fillId="4" borderId="5" xfId="1" applyFont="1" applyFill="1" applyBorder="1" applyAlignment="1">
      <alignment horizontal="center" vertical="center"/>
    </xf>
    <xf numFmtId="44" fontId="6" fillId="4" borderId="5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4" borderId="7" xfId="0" applyFont="1" applyFill="1" applyBorder="1"/>
    <xf numFmtId="44" fontId="6" fillId="4" borderId="8" xfId="1" applyFont="1" applyFill="1" applyBorder="1" applyAlignment="1">
      <alignment horizontal="center" vertical="center"/>
    </xf>
    <xf numFmtId="44" fontId="6" fillId="4" borderId="8" xfId="1" applyFont="1" applyFill="1" applyBorder="1" applyAlignment="1">
      <alignment horizontal="center"/>
    </xf>
    <xf numFmtId="0" fontId="5" fillId="4" borderId="9" xfId="0" applyFont="1" applyFill="1" applyBorder="1"/>
    <xf numFmtId="44" fontId="6" fillId="4" borderId="10" xfId="1" applyFont="1" applyFill="1" applyBorder="1" applyAlignment="1">
      <alignment horizontal="center"/>
    </xf>
    <xf numFmtId="44" fontId="6" fillId="4" borderId="1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0" borderId="12" xfId="0" applyFont="1" applyBorder="1"/>
    <xf numFmtId="166" fontId="6" fillId="0" borderId="13" xfId="1" applyNumberFormat="1" applyFont="1" applyBorder="1" applyAlignment="1">
      <alignment horizontal="center" vertical="center"/>
    </xf>
    <xf numFmtId="0" fontId="5" fillId="0" borderId="7" xfId="0" applyFont="1" applyBorder="1"/>
    <xf numFmtId="1" fontId="6" fillId="0" borderId="14" xfId="0" applyNumberFormat="1" applyFont="1" applyBorder="1" applyAlignment="1">
      <alignment horizontal="center"/>
    </xf>
    <xf numFmtId="10" fontId="6" fillId="0" borderId="14" xfId="0" applyNumberFormat="1" applyFont="1" applyBorder="1" applyAlignment="1">
      <alignment horizontal="center"/>
    </xf>
    <xf numFmtId="0" fontId="6" fillId="4" borderId="7" xfId="0" applyFont="1" applyFill="1" applyBorder="1"/>
    <xf numFmtId="8" fontId="6" fillId="4" borderId="14" xfId="0" applyNumberFormat="1" applyFont="1" applyFill="1" applyBorder="1" applyAlignment="1">
      <alignment horizontal="center"/>
    </xf>
    <xf numFmtId="0" fontId="6" fillId="4" borderId="15" xfId="0" applyFont="1" applyFill="1" applyBorder="1"/>
    <xf numFmtId="8" fontId="6" fillId="4" borderId="4" xfId="0" applyNumberFormat="1" applyFont="1" applyFill="1" applyBorder="1" applyAlignment="1">
      <alignment horizontal="center"/>
    </xf>
    <xf numFmtId="0" fontId="0" fillId="0" borderId="3" xfId="0" applyBorder="1"/>
    <xf numFmtId="44" fontId="6" fillId="4" borderId="22" xfId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16" xfId="0" applyFont="1" applyBorder="1"/>
    <xf numFmtId="44" fontId="8" fillId="0" borderId="17" xfId="0" applyNumberFormat="1" applyFont="1" applyBorder="1"/>
    <xf numFmtId="0" fontId="8" fillId="0" borderId="18" xfId="0" applyFont="1" applyBorder="1"/>
    <xf numFmtId="0" fontId="8" fillId="0" borderId="20" xfId="0" applyFont="1" applyBorder="1"/>
    <xf numFmtId="44" fontId="8" fillId="0" borderId="21" xfId="0" applyNumberFormat="1" applyFont="1" applyBorder="1"/>
    <xf numFmtId="10" fontId="8" fillId="0" borderId="19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9" fillId="5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left" indent="2"/>
    </xf>
    <xf numFmtId="0" fontId="10" fillId="6" borderId="24" xfId="0" applyFont="1" applyFill="1" applyBorder="1" applyAlignment="1">
      <alignment horizontal="left" indent="2"/>
    </xf>
    <xf numFmtId="166" fontId="11" fillId="0" borderId="27" xfId="0" applyNumberFormat="1" applyFont="1" applyBorder="1" applyAlignment="1">
      <alignment horizontal="center"/>
    </xf>
    <xf numFmtId="0" fontId="10" fillId="6" borderId="28" xfId="0" applyFont="1" applyFill="1" applyBorder="1" applyAlignment="1">
      <alignment horizontal="left" indent="2"/>
    </xf>
    <xf numFmtId="0" fontId="10" fillId="6" borderId="25" xfId="0" applyFont="1" applyFill="1" applyBorder="1" applyAlignment="1">
      <alignment horizontal="left" indent="2"/>
    </xf>
    <xf numFmtId="10" fontId="11" fillId="0" borderId="29" xfId="0" applyNumberFormat="1" applyFont="1" applyBorder="1" applyAlignment="1">
      <alignment horizontal="center"/>
    </xf>
    <xf numFmtId="0" fontId="10" fillId="6" borderId="30" xfId="0" applyFont="1" applyFill="1" applyBorder="1" applyAlignment="1">
      <alignment horizontal="left" indent="2"/>
    </xf>
    <xf numFmtId="0" fontId="10" fillId="6" borderId="31" xfId="0" applyFont="1" applyFill="1" applyBorder="1" applyAlignment="1">
      <alignment horizontal="left" indent="2"/>
    </xf>
    <xf numFmtId="0" fontId="12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6" fontId="11" fillId="0" borderId="27" xfId="1" applyNumberFormat="1" applyFont="1" applyBorder="1" applyAlignment="1">
      <alignment horizontal="center" vertical="center"/>
    </xf>
    <xf numFmtId="1" fontId="11" fillId="0" borderId="29" xfId="0" applyNumberFormat="1" applyFont="1" applyBorder="1" applyAlignment="1">
      <alignment horizontal="center"/>
    </xf>
    <xf numFmtId="0" fontId="11" fillId="4" borderId="28" xfId="0" applyFont="1" applyFill="1" applyBorder="1" applyAlignment="1">
      <alignment horizontal="left" indent="2"/>
    </xf>
    <xf numFmtId="0" fontId="11" fillId="4" borderId="25" xfId="0" applyFont="1" applyFill="1" applyBorder="1" applyAlignment="1">
      <alignment horizontal="left" indent="2"/>
    </xf>
    <xf numFmtId="8" fontId="11" fillId="4" borderId="29" xfId="0" applyNumberFormat="1" applyFont="1" applyFill="1" applyBorder="1" applyAlignment="1">
      <alignment horizontal="center"/>
    </xf>
    <xf numFmtId="0" fontId="11" fillId="4" borderId="30" xfId="0" applyFont="1" applyFill="1" applyBorder="1" applyAlignment="1">
      <alignment horizontal="left" indent="2"/>
    </xf>
    <xf numFmtId="0" fontId="11" fillId="4" borderId="31" xfId="0" applyFont="1" applyFill="1" applyBorder="1" applyAlignment="1">
      <alignment horizontal="left" indent="2"/>
    </xf>
    <xf numFmtId="8" fontId="11" fillId="4" borderId="3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left" indent="2"/>
    </xf>
    <xf numFmtId="166" fontId="11" fillId="6" borderId="24" xfId="1" applyNumberFormat="1" applyFont="1" applyFill="1" applyBorder="1" applyAlignment="1">
      <alignment horizontal="center" vertical="center"/>
    </xf>
    <xf numFmtId="166" fontId="11" fillId="6" borderId="27" xfId="1" applyNumberFormat="1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left" indent="2"/>
    </xf>
    <xf numFmtId="166" fontId="11" fillId="6" borderId="25" xfId="1" applyNumberFormat="1" applyFont="1" applyFill="1" applyBorder="1" applyAlignment="1">
      <alignment horizontal="center"/>
    </xf>
    <xf numFmtId="166" fontId="11" fillId="6" borderId="29" xfId="1" applyNumberFormat="1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left" indent="2"/>
    </xf>
    <xf numFmtId="166" fontId="11" fillId="6" borderId="31" xfId="1" applyNumberFormat="1" applyFont="1" applyFill="1" applyBorder="1" applyAlignment="1">
      <alignment horizontal="center"/>
    </xf>
    <xf numFmtId="166" fontId="11" fillId="6" borderId="32" xfId="1" applyNumberFormat="1" applyFont="1" applyFill="1" applyBorder="1" applyAlignment="1">
      <alignment horizontal="center"/>
    </xf>
    <xf numFmtId="166" fontId="11" fillId="6" borderId="32" xfId="0" applyNumberFormat="1" applyFont="1" applyFill="1" applyBorder="1" applyAlignment="1">
      <alignment horizontal="center"/>
    </xf>
    <xf numFmtId="0" fontId="10" fillId="6" borderId="0" xfId="0" applyFont="1" applyFill="1" applyBorder="1" applyAlignment="1">
      <alignment horizontal="left" indent="2"/>
    </xf>
    <xf numFmtId="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9" fillId="5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left" indent="2"/>
    </xf>
    <xf numFmtId="166" fontId="11" fillId="6" borderId="0" xfId="0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indent="2"/>
    </xf>
    <xf numFmtId="8" fontId="11" fillId="4" borderId="0" xfId="0" applyNumberFormat="1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 vertical="center"/>
    </xf>
    <xf numFmtId="166" fontId="11" fillId="6" borderId="0" xfId="1" applyNumberFormat="1" applyFont="1" applyFill="1" applyBorder="1" applyAlignment="1">
      <alignment horizontal="center" vertical="center"/>
    </xf>
    <xf numFmtId="166" fontId="11" fillId="6" borderId="0" xfId="1" applyNumberFormat="1" applyFont="1" applyFill="1" applyBorder="1" applyAlignment="1">
      <alignment horizontal="center"/>
    </xf>
    <xf numFmtId="166" fontId="11" fillId="0" borderId="0" xfId="0" applyNumberFormat="1" applyFont="1" applyBorder="1" applyAlignment="1" applyProtection="1">
      <alignment horizontal="center"/>
      <protection locked="0"/>
    </xf>
    <xf numFmtId="10" fontId="11" fillId="0" borderId="0" xfId="0" applyNumberFormat="1" applyFont="1" applyBorder="1" applyAlignment="1" applyProtection="1">
      <alignment horizontal="center"/>
      <protection locked="0"/>
    </xf>
    <xf numFmtId="166" fontId="11" fillId="0" borderId="0" xfId="1" applyNumberFormat="1" applyFont="1" applyBorder="1" applyAlignment="1" applyProtection="1">
      <alignment horizontal="center" vertical="center"/>
      <protection locked="0"/>
    </xf>
    <xf numFmtId="1" fontId="11" fillId="0" borderId="0" xfId="0" applyNumberFormat="1" applyFont="1" applyBorder="1" applyAlignment="1" applyProtection="1">
      <alignment horizontal="center"/>
      <protection locked="0"/>
    </xf>
    <xf numFmtId="0" fontId="14" fillId="2" borderId="0" xfId="2" applyFont="1" applyBorder="1" applyAlignment="1">
      <alignment horizontal="left"/>
    </xf>
    <xf numFmtId="0" fontId="13" fillId="2" borderId="0" xfId="2" applyFont="1" applyBorder="1" applyAlignment="1" applyProtection="1">
      <alignment horizontal="center"/>
      <protection locked="0"/>
    </xf>
    <xf numFmtId="0" fontId="14" fillId="2" borderId="0" xfId="2" applyFont="1" applyBorder="1"/>
    <xf numFmtId="0" fontId="14" fillId="6" borderId="0" xfId="0" applyFont="1" applyFill="1" applyBorder="1"/>
    <xf numFmtId="166" fontId="14" fillId="6" borderId="0" xfId="0" applyNumberFormat="1" applyFont="1" applyFill="1" applyBorder="1" applyAlignment="1">
      <alignment horizontal="center"/>
    </xf>
    <xf numFmtId="0" fontId="15" fillId="7" borderId="0" xfId="0" applyFont="1" applyFill="1" applyBorder="1"/>
    <xf numFmtId="0" fontId="15" fillId="7" borderId="0" xfId="0" applyFont="1" applyFill="1" applyBorder="1" applyAlignment="1">
      <alignment horizontal="center"/>
    </xf>
    <xf numFmtId="0" fontId="16" fillId="0" borderId="0" xfId="0" applyFont="1" applyBorder="1"/>
    <xf numFmtId="9" fontId="16" fillId="0" borderId="0" xfId="0" applyNumberFormat="1" applyFont="1" applyBorder="1" applyAlignment="1">
      <alignment horizontal="center"/>
    </xf>
    <xf numFmtId="166" fontId="16" fillId="6" borderId="0" xfId="0" applyNumberFormat="1" applyFont="1" applyFill="1" applyBorder="1" applyAlignment="1">
      <alignment horizontal="center"/>
    </xf>
    <xf numFmtId="0" fontId="16" fillId="7" borderId="0" xfId="0" applyFont="1" applyFill="1" applyBorder="1"/>
    <xf numFmtId="0" fontId="10" fillId="6" borderId="0" xfId="0" applyFont="1" applyFill="1" applyBorder="1"/>
    <xf numFmtId="166" fontId="15" fillId="7" borderId="0" xfId="0" applyNumberFormat="1" applyFon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996633"/>
      <color rgb="FFD6AD84"/>
      <color rgb="FFFFCC66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996633"/>
                </a:solidFill>
                <a:latin typeface="Century Gothic" panose="020B0502020202020204" pitchFamily="34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'Simulador APP Perfil Investidor'!$C$31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0C-4AFA-9B4B-B5D035AC26F2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APP Perfil Investidor'!$B$32:$B$37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APP Perfil Investidor'!$C$32:$C$37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C-4AFA-9B4B-B5D035AC26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3.jpeg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</xdr:row>
      <xdr:rowOff>19049</xdr:rowOff>
    </xdr:from>
    <xdr:to>
      <xdr:col>8</xdr:col>
      <xdr:colOff>161925</xdr:colOff>
      <xdr:row>9</xdr:row>
      <xdr:rowOff>19050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6F3C2-1588-49EA-ACD9-E1E839574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49" b="17892"/>
        <a:stretch/>
      </xdr:blipFill>
      <xdr:spPr>
        <a:xfrm>
          <a:off x="561975" y="209549"/>
          <a:ext cx="7772400" cy="15240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</xdr:row>
      <xdr:rowOff>19049</xdr:rowOff>
    </xdr:from>
    <xdr:to>
      <xdr:col>6</xdr:col>
      <xdr:colOff>57150</xdr:colOff>
      <xdr:row>9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1CB5B1-2E2F-4125-89A8-0DCDB8CB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49" b="17892"/>
        <a:stretch/>
      </xdr:blipFill>
      <xdr:spPr>
        <a:xfrm>
          <a:off x="561975" y="209549"/>
          <a:ext cx="7772400" cy="15240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553211</xdr:colOff>
      <xdr:row>0</xdr:row>
      <xdr:rowOff>168088</xdr:rowOff>
    </xdr:from>
    <xdr:to>
      <xdr:col>4</xdr:col>
      <xdr:colOff>33618</xdr:colOff>
      <xdr:row>7</xdr:row>
      <xdr:rowOff>24221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9979CA-F47A-47F5-A84C-1E4F442D4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49" b="17892"/>
        <a:stretch/>
      </xdr:blipFill>
      <xdr:spPr>
        <a:xfrm>
          <a:off x="553211" y="168088"/>
          <a:ext cx="5128172" cy="118963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582705</xdr:colOff>
      <xdr:row>0</xdr:row>
      <xdr:rowOff>168088</xdr:rowOff>
    </xdr:from>
    <xdr:to>
      <xdr:col>4</xdr:col>
      <xdr:colOff>17387</xdr:colOff>
      <xdr:row>7</xdr:row>
      <xdr:rowOff>113619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695518-4F84-4DA0-B99D-DBB3FA7BC5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49" b="17892"/>
        <a:stretch/>
      </xdr:blipFill>
      <xdr:spPr>
        <a:xfrm>
          <a:off x="582705" y="168088"/>
          <a:ext cx="5744616" cy="127903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1</xdr:colOff>
      <xdr:row>39</xdr:row>
      <xdr:rowOff>42334</xdr:rowOff>
    </xdr:from>
    <xdr:to>
      <xdr:col>3</xdr:col>
      <xdr:colOff>1344084</xdr:colOff>
      <xdr:row>54</xdr:row>
      <xdr:rowOff>126999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8BD2D4-2502-CE67-531F-8C3ADA15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41325</xdr:colOff>
      <xdr:row>27</xdr:row>
      <xdr:rowOff>255526</xdr:rowOff>
    </xdr:from>
    <xdr:to>
      <xdr:col>3</xdr:col>
      <xdr:colOff>490355</xdr:colOff>
      <xdr:row>29</xdr:row>
      <xdr:rowOff>111889</xdr:rowOff>
    </xdr:to>
    <xdr:pic>
      <xdr:nvPicPr>
        <xdr:cNvPr id="8" name="Gráfico 7" descr="Cursor com preenchimento sólido">
          <a:extLst>
            <a:ext uri="{FF2B5EF4-FFF2-40B4-BE49-F238E27FC236}">
              <a16:creationId xmlns:a16="http://schemas.microsoft.com/office/drawing/2014/main" id="{4602C10F-C4B1-2F6A-C4AD-FA253D53B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8597461">
          <a:off x="5026075" y="6362109"/>
          <a:ext cx="449030" cy="449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1496-8652-4344-B3F8-EA0FEC29828F}">
  <dimension ref="A11:E24"/>
  <sheetViews>
    <sheetView showGridLines="0" topLeftCell="A7" workbookViewId="0">
      <selection activeCell="E12" sqref="E12"/>
    </sheetView>
  </sheetViews>
  <sheetFormatPr defaultRowHeight="15" x14ac:dyDescent="0.25"/>
  <cols>
    <col min="2" max="2" width="32" bestFit="1" customWidth="1"/>
    <col min="3" max="3" width="27.28515625" customWidth="1"/>
    <col min="4" max="4" width="17.5703125" bestFit="1" customWidth="1"/>
    <col min="10" max="10" width="9.140625" customWidth="1"/>
  </cols>
  <sheetData>
    <row r="11" spans="2:3" ht="15.75" thickBot="1" x14ac:dyDescent="0.3"/>
    <row r="12" spans="2:3" ht="36.75" customHeight="1" x14ac:dyDescent="0.25">
      <c r="B12" s="6" t="s">
        <v>5</v>
      </c>
      <c r="C12" s="15"/>
    </row>
    <row r="13" spans="2:3" ht="18.75" thickBot="1" x14ac:dyDescent="0.4">
      <c r="B13" s="16" t="s">
        <v>0</v>
      </c>
      <c r="C13" s="17">
        <v>500</v>
      </c>
    </row>
    <row r="14" spans="2:3" ht="18.75" thickBot="1" x14ac:dyDescent="0.4">
      <c r="B14" s="18" t="s">
        <v>1</v>
      </c>
      <c r="C14" s="19">
        <v>5</v>
      </c>
    </row>
    <row r="15" spans="2:3" ht="18.75" thickBot="1" x14ac:dyDescent="0.4">
      <c r="B15" s="18" t="s">
        <v>2</v>
      </c>
      <c r="C15" s="20">
        <v>1.0789999999999999E-2</v>
      </c>
    </row>
    <row r="16" spans="2:3" ht="18.75" thickBot="1" x14ac:dyDescent="0.4">
      <c r="B16" s="21" t="s">
        <v>3</v>
      </c>
      <c r="C16" s="22">
        <f>FV(C15,C14*12,C13*-1)</f>
        <v>41888.456999243819</v>
      </c>
    </row>
    <row r="17" spans="1:5" ht="18.75" thickBot="1" x14ac:dyDescent="0.4">
      <c r="B17" s="23" t="s">
        <v>4</v>
      </c>
      <c r="C17" s="24">
        <f>C16*1%</f>
        <v>418.88456999243817</v>
      </c>
      <c r="E17" s="2"/>
    </row>
    <row r="18" spans="1:5" ht="15.75" thickBot="1" x14ac:dyDescent="0.3">
      <c r="C18" s="1"/>
    </row>
    <row r="19" spans="1:5" ht="29.25" thickBot="1" x14ac:dyDescent="0.3">
      <c r="B19" s="6" t="s">
        <v>11</v>
      </c>
      <c r="C19" s="7"/>
      <c r="D19" s="8" t="s">
        <v>12</v>
      </c>
    </row>
    <row r="20" spans="1:5" ht="18.75" thickBot="1" x14ac:dyDescent="0.4">
      <c r="A20" s="3">
        <v>2</v>
      </c>
      <c r="B20" s="9" t="s">
        <v>6</v>
      </c>
      <c r="C20" s="4">
        <f>FV($C$15,A20*12,$C$13*-1)</f>
        <v>13613.813648822608</v>
      </c>
      <c r="D20" s="10">
        <f>C20*1%</f>
        <v>136.13813648822608</v>
      </c>
    </row>
    <row r="21" spans="1:5" ht="18.75" thickBot="1" x14ac:dyDescent="0.4">
      <c r="A21" s="3">
        <v>5</v>
      </c>
      <c r="B21" s="9" t="s">
        <v>7</v>
      </c>
      <c r="C21" s="5">
        <f t="shared" ref="C21:C24" si="0">FV($C$15,A21*12,$C$13*-1)</f>
        <v>41888.456999243819</v>
      </c>
      <c r="D21" s="11">
        <f t="shared" ref="D21:D24" si="1">C21*1%</f>
        <v>418.88456999243817</v>
      </c>
    </row>
    <row r="22" spans="1:5" ht="18.75" thickBot="1" x14ac:dyDescent="0.4">
      <c r="A22" s="3">
        <v>10</v>
      </c>
      <c r="B22" s="9" t="s">
        <v>8</v>
      </c>
      <c r="C22" s="5">
        <f t="shared" si="0"/>
        <v>121642.1062650861</v>
      </c>
      <c r="D22" s="11">
        <f t="shared" si="1"/>
        <v>1216.4210626508609</v>
      </c>
    </row>
    <row r="23" spans="1:5" ht="18.75" thickBot="1" x14ac:dyDescent="0.4">
      <c r="A23" s="3">
        <v>20</v>
      </c>
      <c r="B23" s="9" t="s">
        <v>9</v>
      </c>
      <c r="C23" s="5">
        <f t="shared" si="0"/>
        <v>562599.20004854025</v>
      </c>
      <c r="D23" s="11">
        <f t="shared" si="1"/>
        <v>5625.992000485403</v>
      </c>
    </row>
    <row r="24" spans="1:5" ht="18.75" thickBot="1" x14ac:dyDescent="0.4">
      <c r="A24" s="3">
        <v>30</v>
      </c>
      <c r="B24" s="12" t="s">
        <v>10</v>
      </c>
      <c r="C24" s="13">
        <f t="shared" si="0"/>
        <v>2161084.8275023573</v>
      </c>
      <c r="D24" s="14">
        <f t="shared" si="1"/>
        <v>21610.848275023574</v>
      </c>
    </row>
  </sheetData>
  <mergeCells count="2">
    <mergeCell ref="B12:C12"/>
    <mergeCell ref="B19:C1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386B-7E39-4A18-A6B9-19653D719C2E}">
  <dimension ref="A11:F24"/>
  <sheetViews>
    <sheetView showGridLines="0" workbookViewId="0">
      <selection activeCell="C14" sqref="C14"/>
    </sheetView>
  </sheetViews>
  <sheetFormatPr defaultRowHeight="15" x14ac:dyDescent="0.25"/>
  <cols>
    <col min="2" max="2" width="32" bestFit="1" customWidth="1"/>
    <col min="3" max="3" width="27.28515625" customWidth="1"/>
    <col min="4" max="4" width="17.5703125" bestFit="1" customWidth="1"/>
    <col min="5" max="5" width="25" customWidth="1"/>
    <col min="6" max="6" width="13.140625" bestFit="1" customWidth="1"/>
    <col min="10" max="10" width="9.140625" customWidth="1"/>
  </cols>
  <sheetData>
    <row r="11" spans="2:6" ht="15.75" thickBot="1" x14ac:dyDescent="0.3"/>
    <row r="12" spans="2:6" ht="36.75" customHeight="1" x14ac:dyDescent="0.25">
      <c r="B12" s="6" t="s">
        <v>5</v>
      </c>
      <c r="C12" s="15"/>
      <c r="E12" s="27" t="s">
        <v>16</v>
      </c>
      <c r="F12" s="28"/>
    </row>
    <row r="13" spans="2:6" ht="18.75" thickBot="1" x14ac:dyDescent="0.4">
      <c r="B13" s="16" t="s">
        <v>0</v>
      </c>
      <c r="C13" s="17">
        <v>500</v>
      </c>
      <c r="E13" s="29" t="s">
        <v>13</v>
      </c>
      <c r="F13" s="30">
        <v>5000</v>
      </c>
    </row>
    <row r="14" spans="2:6" ht="18.75" thickBot="1" x14ac:dyDescent="0.4">
      <c r="B14" s="18" t="s">
        <v>1</v>
      </c>
      <c r="C14" s="19">
        <v>5</v>
      </c>
      <c r="E14" s="31" t="s">
        <v>14</v>
      </c>
      <c r="F14" s="34">
        <v>0.01</v>
      </c>
    </row>
    <row r="15" spans="2:6" ht="18.75" thickBot="1" x14ac:dyDescent="0.4">
      <c r="B15" s="18" t="s">
        <v>2</v>
      </c>
      <c r="C15" s="20">
        <v>1.0789999999999999E-2</v>
      </c>
      <c r="E15" s="32" t="s">
        <v>15</v>
      </c>
      <c r="F15" s="33">
        <f>F13*30%</f>
        <v>1500</v>
      </c>
    </row>
    <row r="16" spans="2:6" ht="18.75" thickBot="1" x14ac:dyDescent="0.4">
      <c r="B16" s="21" t="s">
        <v>3</v>
      </c>
      <c r="C16" s="22">
        <f>FV(C15,C14*12,C13*-1)</f>
        <v>41888.456999243819</v>
      </c>
    </row>
    <row r="17" spans="1:5" ht="18.75" thickBot="1" x14ac:dyDescent="0.4">
      <c r="B17" s="23" t="s">
        <v>4</v>
      </c>
      <c r="C17" s="24">
        <f>C16*$F$14</f>
        <v>418.88456999243817</v>
      </c>
      <c r="E17" s="2"/>
    </row>
    <row r="18" spans="1:5" ht="15.75" thickBot="1" x14ac:dyDescent="0.3">
      <c r="C18" s="1"/>
    </row>
    <row r="19" spans="1:5" ht="29.25" thickBot="1" x14ac:dyDescent="0.3">
      <c r="B19" s="6" t="s">
        <v>11</v>
      </c>
      <c r="C19" s="7"/>
      <c r="D19" s="8" t="s">
        <v>12</v>
      </c>
    </row>
    <row r="20" spans="1:5" ht="18.75" thickBot="1" x14ac:dyDescent="0.4">
      <c r="A20" s="3">
        <v>2</v>
      </c>
      <c r="B20" s="9" t="s">
        <v>6</v>
      </c>
      <c r="C20" s="4">
        <f>FV($C$15,A20*12,$C$13*-1)</f>
        <v>13613.813648822608</v>
      </c>
      <c r="D20" s="10">
        <f>C20*$F$14</f>
        <v>136.13813648822608</v>
      </c>
    </row>
    <row r="21" spans="1:5" ht="18.75" thickBot="1" x14ac:dyDescent="0.4">
      <c r="A21" s="3">
        <v>5</v>
      </c>
      <c r="B21" s="9" t="s">
        <v>7</v>
      </c>
      <c r="C21" s="5">
        <f t="shared" ref="C21:C24" si="0">FV($C$15,A21*12,$C$13*-1)</f>
        <v>41888.456999243819</v>
      </c>
      <c r="D21" s="10">
        <f t="shared" ref="D21:D24" si="1">C21*$F$14</f>
        <v>418.88456999243817</v>
      </c>
    </row>
    <row r="22" spans="1:5" ht="18.75" thickBot="1" x14ac:dyDescent="0.4">
      <c r="A22" s="3">
        <v>10</v>
      </c>
      <c r="B22" s="9" t="s">
        <v>8</v>
      </c>
      <c r="C22" s="5">
        <f t="shared" si="0"/>
        <v>121642.1062650861</v>
      </c>
      <c r="D22" s="10">
        <f t="shared" si="1"/>
        <v>1216.4210626508609</v>
      </c>
    </row>
    <row r="23" spans="1:5" ht="18.75" thickBot="1" x14ac:dyDescent="0.4">
      <c r="A23" s="3">
        <v>20</v>
      </c>
      <c r="B23" s="9" t="s">
        <v>9</v>
      </c>
      <c r="C23" s="5">
        <f t="shared" si="0"/>
        <v>562599.20004854025</v>
      </c>
      <c r="D23" s="10">
        <f t="shared" si="1"/>
        <v>5625.992000485403</v>
      </c>
    </row>
    <row r="24" spans="1:5" ht="18.75" thickBot="1" x14ac:dyDescent="0.4">
      <c r="A24" s="3">
        <v>30</v>
      </c>
      <c r="B24" s="12" t="s">
        <v>10</v>
      </c>
      <c r="C24" s="13">
        <f t="shared" si="0"/>
        <v>2161084.8275023573</v>
      </c>
      <c r="D24" s="26">
        <f t="shared" si="1"/>
        <v>21610.848275023574</v>
      </c>
      <c r="E24" s="25"/>
    </row>
  </sheetData>
  <mergeCells count="3">
    <mergeCell ref="B12:C12"/>
    <mergeCell ref="B19:C19"/>
    <mergeCell ref="E12:F1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A5E8-2CE1-4B0B-9A64-1D48AD6669AF}">
  <dimension ref="A8:F26"/>
  <sheetViews>
    <sheetView showGridLines="0" topLeftCell="A7" zoomScale="85" zoomScaleNormal="85" workbookViewId="0">
      <selection activeCell="D17" sqref="D17"/>
    </sheetView>
  </sheetViews>
  <sheetFormatPr defaultColWidth="0" defaultRowHeight="15" x14ac:dyDescent="0.25"/>
  <cols>
    <col min="1" max="1" width="9.140625" customWidth="1"/>
    <col min="2" max="2" width="30.28515625" customWidth="1"/>
    <col min="3" max="3" width="25" customWidth="1"/>
    <col min="4" max="4" width="20.28515625" customWidth="1"/>
    <col min="5" max="5" width="12.5703125" customWidth="1"/>
    <col min="6" max="6" width="13.140625" hidden="1" customWidth="1"/>
    <col min="7" max="11" width="9.140625" hidden="1" customWidth="1"/>
    <col min="12" max="16384" width="9.140625" hidden="1"/>
  </cols>
  <sheetData>
    <row r="8" spans="2:5" ht="15.75" thickBot="1" x14ac:dyDescent="0.3"/>
    <row r="9" spans="2:5" ht="31.5" customHeight="1" x14ac:dyDescent="0.25">
      <c r="B9" s="36" t="s">
        <v>17</v>
      </c>
      <c r="C9" s="37"/>
      <c r="D9" s="38"/>
    </row>
    <row r="10" spans="2:5" ht="17.25" x14ac:dyDescent="0.3">
      <c r="B10" s="39" t="s">
        <v>13</v>
      </c>
      <c r="C10" s="40"/>
      <c r="D10" s="41">
        <v>5000</v>
      </c>
    </row>
    <row r="11" spans="2:5" ht="17.25" x14ac:dyDescent="0.3">
      <c r="B11" s="42" t="s">
        <v>14</v>
      </c>
      <c r="C11" s="43"/>
      <c r="D11" s="44">
        <v>6.0000000000000001E-3</v>
      </c>
    </row>
    <row r="12" spans="2:5" ht="18" thickBot="1" x14ac:dyDescent="0.35">
      <c r="B12" s="45" t="s">
        <v>15</v>
      </c>
      <c r="C12" s="46"/>
      <c r="D12" s="70">
        <f>D10*30%</f>
        <v>1500</v>
      </c>
    </row>
    <row r="13" spans="2:5" ht="17.25" thickBot="1" x14ac:dyDescent="0.35">
      <c r="B13" s="47"/>
      <c r="C13" s="47"/>
      <c r="D13" s="47"/>
    </row>
    <row r="14" spans="2:5" ht="36.75" customHeight="1" x14ac:dyDescent="0.25">
      <c r="B14" s="48" t="s">
        <v>5</v>
      </c>
      <c r="C14" s="49"/>
      <c r="D14" s="50"/>
    </row>
    <row r="15" spans="2:5" ht="17.25" x14ac:dyDescent="0.3">
      <c r="B15" s="39" t="s">
        <v>0</v>
      </c>
      <c r="C15" s="40"/>
      <c r="D15" s="51">
        <v>500</v>
      </c>
    </row>
    <row r="16" spans="2:5" ht="17.25" x14ac:dyDescent="0.3">
      <c r="B16" s="42" t="s">
        <v>1</v>
      </c>
      <c r="C16" s="43"/>
      <c r="D16" s="52">
        <v>5</v>
      </c>
      <c r="E16" s="35"/>
    </row>
    <row r="17" spans="1:5" ht="17.25" x14ac:dyDescent="0.3">
      <c r="B17" s="42" t="s">
        <v>2</v>
      </c>
      <c r="C17" s="43"/>
      <c r="D17" s="44">
        <v>1.0789999999999999E-2</v>
      </c>
    </row>
    <row r="18" spans="1:5" ht="15.75" x14ac:dyDescent="0.25">
      <c r="B18" s="53" t="s">
        <v>3</v>
      </c>
      <c r="C18" s="54"/>
      <c r="D18" s="55">
        <f>FV(Taxa_Mensal,Qtd_Anos*12,Aporte*-1)</f>
        <v>41888.456999243819</v>
      </c>
    </row>
    <row r="19" spans="1:5" ht="16.5" thickBot="1" x14ac:dyDescent="0.3">
      <c r="B19" s="56" t="s">
        <v>4</v>
      </c>
      <c r="C19" s="57"/>
      <c r="D19" s="58">
        <f>Patrimonio*Rendimento_Carteira</f>
        <v>251.33074199546292</v>
      </c>
      <c r="E19" s="2"/>
    </row>
    <row r="20" spans="1:5" ht="17.25" thickBot="1" x14ac:dyDescent="0.35">
      <c r="B20" s="47"/>
      <c r="C20" s="59"/>
      <c r="D20" s="47"/>
    </row>
    <row r="21" spans="1:5" ht="20.25" x14ac:dyDescent="0.25">
      <c r="B21" s="48" t="s">
        <v>11</v>
      </c>
      <c r="C21" s="49"/>
      <c r="D21" s="60" t="s">
        <v>12</v>
      </c>
    </row>
    <row r="22" spans="1:5" ht="17.25" x14ac:dyDescent="0.3">
      <c r="A22" s="3">
        <v>2</v>
      </c>
      <c r="B22" s="61" t="s">
        <v>6</v>
      </c>
      <c r="C22" s="62">
        <f>FV($D$17,A22*12,$D$15*-1)</f>
        <v>13613.813648822608</v>
      </c>
      <c r="D22" s="63">
        <f>C22*Rendimento_Carteira</f>
        <v>81.682881892935654</v>
      </c>
    </row>
    <row r="23" spans="1:5" ht="17.25" x14ac:dyDescent="0.3">
      <c r="A23" s="3">
        <v>5</v>
      </c>
      <c r="B23" s="64" t="s">
        <v>7</v>
      </c>
      <c r="C23" s="65">
        <f>FV($D$17,A23*12,$D$15*-1)</f>
        <v>41888.456999243819</v>
      </c>
      <c r="D23" s="66">
        <f>C23*Rendimento_Carteira</f>
        <v>251.33074199546292</v>
      </c>
    </row>
    <row r="24" spans="1:5" ht="17.25" x14ac:dyDescent="0.3">
      <c r="A24" s="3">
        <v>10</v>
      </c>
      <c r="B24" s="64" t="s">
        <v>8</v>
      </c>
      <c r="C24" s="65">
        <f>FV($D$17,A24*12,$D$15*-1)</f>
        <v>121642.1062650861</v>
      </c>
      <c r="D24" s="66">
        <f>C24*Rendimento_Carteira</f>
        <v>729.85263759051657</v>
      </c>
    </row>
    <row r="25" spans="1:5" ht="17.25" x14ac:dyDescent="0.3">
      <c r="A25" s="3">
        <v>20</v>
      </c>
      <c r="B25" s="64" t="s">
        <v>9</v>
      </c>
      <c r="C25" s="65">
        <f>FV($D$17,A25*12,$D$15*-1)</f>
        <v>562599.20004854025</v>
      </c>
      <c r="D25" s="66">
        <f>C25*Rendimento_Carteira</f>
        <v>3375.5952002912418</v>
      </c>
    </row>
    <row r="26" spans="1:5" ht="18" thickBot="1" x14ac:dyDescent="0.35">
      <c r="A26" s="3">
        <v>30</v>
      </c>
      <c r="B26" s="67" t="s">
        <v>10</v>
      </c>
      <c r="C26" s="68">
        <f>FV($D$17,A26*12,$D$15*-1)</f>
        <v>2161084.8275023573</v>
      </c>
      <c r="D26" s="69">
        <f>C26*Rendimento_Carteira</f>
        <v>12966.508965014144</v>
      </c>
      <c r="E26" s="2"/>
    </row>
  </sheetData>
  <mergeCells count="11">
    <mergeCell ref="B10:C10"/>
    <mergeCell ref="B9:D9"/>
    <mergeCell ref="B14:D14"/>
    <mergeCell ref="B21:C21"/>
    <mergeCell ref="B19:C19"/>
    <mergeCell ref="B18:C18"/>
    <mergeCell ref="B17:C17"/>
    <mergeCell ref="B16:C16"/>
    <mergeCell ref="B15:C15"/>
    <mergeCell ref="B12:C12"/>
    <mergeCell ref="B11:C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3E3A-6D8E-4B4C-AABB-C09F17112062}">
  <dimension ref="A2:H20"/>
  <sheetViews>
    <sheetView workbookViewId="0">
      <selection activeCell="B17" sqref="B17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</cols>
  <sheetData>
    <row r="2" spans="1:8" x14ac:dyDescent="0.25">
      <c r="A2" t="s">
        <v>31</v>
      </c>
      <c r="B2" t="s">
        <v>20</v>
      </c>
      <c r="C2" s="73" t="s">
        <v>21</v>
      </c>
      <c r="D2" s="1" t="s">
        <v>30</v>
      </c>
    </row>
    <row r="3" spans="1:8" x14ac:dyDescent="0.25">
      <c r="A3" t="str">
        <f>$B$3&amp;"-"&amp;C3</f>
        <v>Conservador-PAPEL</v>
      </c>
      <c r="B3" t="s">
        <v>18</v>
      </c>
      <c r="C3" s="1" t="s">
        <v>24</v>
      </c>
      <c r="D3" s="72">
        <v>0.3</v>
      </c>
      <c r="H3" t="s">
        <v>30</v>
      </c>
    </row>
    <row r="4" spans="1:8" x14ac:dyDescent="0.25">
      <c r="A4" t="str">
        <f t="shared" ref="A4:A20" si="0">$B$3&amp;"-"&amp;C4</f>
        <v>Conservador-TIJOLO</v>
      </c>
      <c r="B4" t="s">
        <v>18</v>
      </c>
      <c r="C4" s="1" t="s">
        <v>25</v>
      </c>
      <c r="D4" s="72">
        <v>0.5</v>
      </c>
    </row>
    <row r="5" spans="1:8" x14ac:dyDescent="0.25">
      <c r="A5" t="str">
        <f t="shared" si="0"/>
        <v>Conservador-HÍBRIDOS</v>
      </c>
      <c r="B5" t="s">
        <v>18</v>
      </c>
      <c r="C5" s="1" t="s">
        <v>26</v>
      </c>
      <c r="D5" s="72">
        <v>0.1</v>
      </c>
    </row>
    <row r="6" spans="1:8" x14ac:dyDescent="0.25">
      <c r="A6" t="str">
        <f t="shared" si="0"/>
        <v>Conservador-FOFs</v>
      </c>
      <c r="B6" t="s">
        <v>18</v>
      </c>
      <c r="C6" s="1" t="s">
        <v>27</v>
      </c>
      <c r="D6" s="72">
        <v>0.1</v>
      </c>
    </row>
    <row r="7" spans="1:8" x14ac:dyDescent="0.25">
      <c r="A7" t="str">
        <f t="shared" si="0"/>
        <v>Conservador-DESENVOLVIMENTO</v>
      </c>
      <c r="B7" t="s">
        <v>18</v>
      </c>
      <c r="C7" s="1" t="s">
        <v>28</v>
      </c>
      <c r="D7" s="72">
        <v>0</v>
      </c>
    </row>
    <row r="8" spans="1:8" ht="15.75" thickBot="1" x14ac:dyDescent="0.3">
      <c r="A8" s="74" t="str">
        <f t="shared" si="0"/>
        <v>Conservador-HOTELARIAS</v>
      </c>
      <c r="B8" s="74" t="s">
        <v>18</v>
      </c>
      <c r="C8" s="75" t="s">
        <v>29</v>
      </c>
      <c r="D8" s="76">
        <v>0</v>
      </c>
    </row>
    <row r="9" spans="1:8" x14ac:dyDescent="0.25">
      <c r="A9" t="str">
        <f>$B$9&amp;"-"&amp;C9</f>
        <v>Moderado-PAPEL</v>
      </c>
      <c r="B9" t="s">
        <v>32</v>
      </c>
      <c r="C9" s="1" t="s">
        <v>24</v>
      </c>
      <c r="D9" s="72">
        <v>0.32</v>
      </c>
    </row>
    <row r="10" spans="1:8" x14ac:dyDescent="0.25">
      <c r="A10" t="str">
        <f t="shared" ref="A10:A14" si="1">$B$9&amp;"-"&amp;C10</f>
        <v>Moderado-TIJOLO</v>
      </c>
      <c r="B10" t="s">
        <v>32</v>
      </c>
      <c r="C10" s="1" t="s">
        <v>25</v>
      </c>
      <c r="D10" s="72">
        <v>0.35</v>
      </c>
    </row>
    <row r="11" spans="1:8" x14ac:dyDescent="0.25">
      <c r="A11" t="str">
        <f t="shared" si="1"/>
        <v>Moderado-HÍBRIDOS</v>
      </c>
      <c r="B11" t="s">
        <v>32</v>
      </c>
      <c r="C11" s="1" t="s">
        <v>26</v>
      </c>
      <c r="D11" s="72">
        <v>0.08</v>
      </c>
    </row>
    <row r="12" spans="1:8" x14ac:dyDescent="0.25">
      <c r="A12" t="str">
        <f t="shared" si="1"/>
        <v>Moderado-FOFs</v>
      </c>
      <c r="B12" t="s">
        <v>32</v>
      </c>
      <c r="C12" s="1" t="s">
        <v>27</v>
      </c>
      <c r="D12" s="72">
        <v>0.05</v>
      </c>
    </row>
    <row r="13" spans="1:8" x14ac:dyDescent="0.25">
      <c r="A13" t="str">
        <f t="shared" si="1"/>
        <v>Moderado-DESENVOLVIMENTO</v>
      </c>
      <c r="B13" t="s">
        <v>32</v>
      </c>
      <c r="C13" s="1" t="s">
        <v>28</v>
      </c>
      <c r="D13" s="72">
        <v>0.1</v>
      </c>
    </row>
    <row r="14" spans="1:8" ht="15.75" thickBot="1" x14ac:dyDescent="0.3">
      <c r="A14" s="74" t="str">
        <f t="shared" si="1"/>
        <v>Moderado-HOTELARIAS</v>
      </c>
      <c r="B14" s="74" t="s">
        <v>32</v>
      </c>
      <c r="C14" s="75" t="s">
        <v>29</v>
      </c>
      <c r="D14" s="76">
        <v>0.1</v>
      </c>
    </row>
    <row r="15" spans="1:8" x14ac:dyDescent="0.25">
      <c r="A15" t="str">
        <f>$B$15&amp;"-"&amp;C15</f>
        <v>Agressivo-PAPEL</v>
      </c>
      <c r="B15" t="s">
        <v>33</v>
      </c>
      <c r="C15" s="1" t="s">
        <v>24</v>
      </c>
      <c r="D15" s="72">
        <v>0.5</v>
      </c>
    </row>
    <row r="16" spans="1:8" x14ac:dyDescent="0.25">
      <c r="A16" t="str">
        <f t="shared" ref="A16:A20" si="2">$B$15&amp;"-"&amp;C16</f>
        <v>Agressivo-TIJOLO</v>
      </c>
      <c r="B16" t="s">
        <v>33</v>
      </c>
      <c r="C16" s="1" t="s">
        <v>25</v>
      </c>
      <c r="D16" s="72">
        <v>0.1</v>
      </c>
    </row>
    <row r="17" spans="1:4" x14ac:dyDescent="0.25">
      <c r="A17" t="str">
        <f t="shared" si="2"/>
        <v>Agressivo-HÍBRIDOS</v>
      </c>
      <c r="B17" t="s">
        <v>33</v>
      </c>
      <c r="C17" s="1" t="s">
        <v>26</v>
      </c>
      <c r="D17" s="72">
        <v>0.05</v>
      </c>
    </row>
    <row r="18" spans="1:4" x14ac:dyDescent="0.25">
      <c r="A18" t="str">
        <f t="shared" si="2"/>
        <v>Agressivo-FOFs</v>
      </c>
      <c r="B18" t="s">
        <v>33</v>
      </c>
      <c r="C18" s="1" t="s">
        <v>27</v>
      </c>
      <c r="D18" s="72">
        <v>0.05</v>
      </c>
    </row>
    <row r="19" spans="1:4" x14ac:dyDescent="0.25">
      <c r="A19" t="str">
        <f t="shared" si="2"/>
        <v>Agressivo-DESENVOLVIMENTO</v>
      </c>
      <c r="B19" t="s">
        <v>33</v>
      </c>
      <c r="C19" s="1" t="s">
        <v>28</v>
      </c>
      <c r="D19" s="72">
        <v>0.2</v>
      </c>
    </row>
    <row r="20" spans="1:4" x14ac:dyDescent="0.25">
      <c r="A20" t="str">
        <f t="shared" si="2"/>
        <v>Agressivo-HOTELARIAS</v>
      </c>
      <c r="B20" t="s">
        <v>33</v>
      </c>
      <c r="C20" s="1" t="s">
        <v>29</v>
      </c>
      <c r="D20" s="72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E07-5710-49A8-AE4F-E6B8385A0443}">
  <dimension ref="A1:F62"/>
  <sheetViews>
    <sheetView showGridLines="0" showRowColHeaders="0" tabSelected="1" zoomScale="90" zoomScaleNormal="90" workbookViewId="0">
      <selection activeCell="D30" sqref="D30"/>
    </sheetView>
  </sheetViews>
  <sheetFormatPr defaultColWidth="0" defaultRowHeight="15" zeroHeight="1" x14ac:dyDescent="0.25"/>
  <cols>
    <col min="1" max="1" width="9" customWidth="1"/>
    <col min="2" max="2" width="40.42578125" bestFit="1" customWidth="1"/>
    <col min="3" max="3" width="25" customWidth="1"/>
    <col min="4" max="4" width="20.28515625" customWidth="1"/>
    <col min="5" max="5" width="9" customWidth="1"/>
    <col min="6" max="6" width="13.140625" hidden="1" customWidth="1"/>
    <col min="7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31.5" customHeight="1" x14ac:dyDescent="0.25">
      <c r="B10" s="77" t="s">
        <v>17</v>
      </c>
      <c r="C10" s="77"/>
      <c r="D10" s="77"/>
    </row>
    <row r="11" spans="2:4" ht="17.25" x14ac:dyDescent="0.3">
      <c r="B11" s="78" t="s">
        <v>13</v>
      </c>
      <c r="C11" s="78"/>
      <c r="D11" s="86">
        <v>5000</v>
      </c>
    </row>
    <row r="12" spans="2:4" ht="17.25" x14ac:dyDescent="0.3">
      <c r="B12" s="78" t="s">
        <v>14</v>
      </c>
      <c r="C12" s="78"/>
      <c r="D12" s="87">
        <v>8.5000000000000006E-3</v>
      </c>
    </row>
    <row r="13" spans="2:4" ht="17.25" x14ac:dyDescent="0.3">
      <c r="B13" s="78" t="s">
        <v>15</v>
      </c>
      <c r="C13" s="78"/>
      <c r="D13" s="79">
        <f>D11*30%</f>
        <v>1500</v>
      </c>
    </row>
    <row r="14" spans="2:4" ht="16.5" x14ac:dyDescent="0.3">
      <c r="B14" s="47"/>
      <c r="C14" s="47"/>
      <c r="D14" s="47"/>
    </row>
    <row r="15" spans="2:4" ht="36.75" customHeight="1" x14ac:dyDescent="0.25">
      <c r="B15" s="80" t="s">
        <v>5</v>
      </c>
      <c r="C15" s="80"/>
      <c r="D15" s="80"/>
    </row>
    <row r="16" spans="2:4" ht="17.25" x14ac:dyDescent="0.3">
      <c r="B16" s="78" t="s">
        <v>0</v>
      </c>
      <c r="C16" s="78"/>
      <c r="D16" s="88">
        <v>800</v>
      </c>
    </row>
    <row r="17" spans="1:5" ht="17.25" x14ac:dyDescent="0.3">
      <c r="B17" s="78" t="s">
        <v>1</v>
      </c>
      <c r="C17" s="78"/>
      <c r="D17" s="89">
        <v>5</v>
      </c>
      <c r="E17" s="35"/>
    </row>
    <row r="18" spans="1:5" ht="17.25" x14ac:dyDescent="0.3">
      <c r="B18" s="78" t="s">
        <v>2</v>
      </c>
      <c r="C18" s="78"/>
      <c r="D18" s="87">
        <v>1.0789999999999999E-2</v>
      </c>
    </row>
    <row r="19" spans="1:5" ht="15.75" x14ac:dyDescent="0.25">
      <c r="B19" s="81" t="s">
        <v>3</v>
      </c>
      <c r="C19" s="81"/>
      <c r="D19" s="82">
        <f>FV(Taxa_Mensal,Qtd_Anos*12,Aporte*-1)</f>
        <v>67021.531198790108</v>
      </c>
    </row>
    <row r="20" spans="1:5" ht="15.75" x14ac:dyDescent="0.25">
      <c r="B20" s="81" t="s">
        <v>4</v>
      </c>
      <c r="C20" s="81"/>
      <c r="D20" s="82">
        <f>Patrimonio*Rendimento_Carteira</f>
        <v>569.683015189716</v>
      </c>
      <c r="E20" s="2"/>
    </row>
    <row r="21" spans="1:5" ht="16.5" x14ac:dyDescent="0.3">
      <c r="B21" s="47"/>
      <c r="C21" s="59"/>
      <c r="D21" s="47"/>
    </row>
    <row r="22" spans="1:5" ht="20.25" x14ac:dyDescent="0.25">
      <c r="B22" s="80" t="s">
        <v>11</v>
      </c>
      <c r="C22" s="80"/>
      <c r="D22" s="83" t="s">
        <v>12</v>
      </c>
    </row>
    <row r="23" spans="1:5" ht="17.25" x14ac:dyDescent="0.3">
      <c r="A23" s="3">
        <v>2</v>
      </c>
      <c r="B23" s="71" t="s">
        <v>6</v>
      </c>
      <c r="C23" s="84">
        <f>FV($D$18,A23*12,$D$16*-1)</f>
        <v>21782.101838116174</v>
      </c>
      <c r="D23" s="84">
        <f>C23*Rendimento_Carteira</f>
        <v>185.14786562398749</v>
      </c>
    </row>
    <row r="24" spans="1:5" ht="17.25" x14ac:dyDescent="0.3">
      <c r="A24" s="3">
        <v>5</v>
      </c>
      <c r="B24" s="71" t="s">
        <v>7</v>
      </c>
      <c r="C24" s="85">
        <f>FV($D$18,A24*12,$D$16*-1)</f>
        <v>67021.531198790108</v>
      </c>
      <c r="D24" s="84">
        <f>C24*Rendimento_Carteira</f>
        <v>569.683015189716</v>
      </c>
    </row>
    <row r="25" spans="1:5" ht="17.25" x14ac:dyDescent="0.3">
      <c r="A25" s="3">
        <v>10</v>
      </c>
      <c r="B25" s="71" t="s">
        <v>8</v>
      </c>
      <c r="C25" s="85">
        <f>FV($D$18,A25*12,$D$16*-1)</f>
        <v>194627.37002413775</v>
      </c>
      <c r="D25" s="84">
        <f>C25*Rendimento_Carteira</f>
        <v>1654.332645205171</v>
      </c>
    </row>
    <row r="26" spans="1:5" ht="17.25" x14ac:dyDescent="0.3">
      <c r="A26" s="3">
        <v>20</v>
      </c>
      <c r="B26" s="71" t="s">
        <v>9</v>
      </c>
      <c r="C26" s="85">
        <f>FV($D$18,A26*12,$D$16*-1)</f>
        <v>900158.72007766447</v>
      </c>
      <c r="D26" s="84">
        <f>C26*Rendimento_Carteira</f>
        <v>7651.3491206601484</v>
      </c>
    </row>
    <row r="27" spans="1:5" ht="17.25" x14ac:dyDescent="0.3">
      <c r="A27" s="3">
        <v>30</v>
      </c>
      <c r="B27" s="71" t="s">
        <v>10</v>
      </c>
      <c r="C27" s="85">
        <f>FV($D$18,A27*12,$D$16*-1)</f>
        <v>3457735.7240037718</v>
      </c>
      <c r="D27" s="85">
        <f>C27*Rendimento_Carteira</f>
        <v>29390.753654032062</v>
      </c>
      <c r="E27" s="2"/>
    </row>
    <row r="28" spans="1:5" ht="28.5" customHeight="1" x14ac:dyDescent="0.25"/>
    <row r="29" spans="1:5" ht="18" x14ac:dyDescent="0.25">
      <c r="B29" s="90" t="s">
        <v>20</v>
      </c>
      <c r="C29" s="91" t="s">
        <v>18</v>
      </c>
      <c r="D29" s="92"/>
    </row>
    <row r="30" spans="1:5" ht="18.75" x14ac:dyDescent="0.3">
      <c r="B30" s="101" t="s">
        <v>19</v>
      </c>
      <c r="C30" s="94">
        <f>Aporte</f>
        <v>800</v>
      </c>
      <c r="D30" s="93"/>
    </row>
    <row r="31" spans="1:5" x14ac:dyDescent="0.25">
      <c r="B31" s="95" t="s">
        <v>21</v>
      </c>
      <c r="C31" s="96" t="s">
        <v>22</v>
      </c>
      <c r="D31" s="96" t="s">
        <v>23</v>
      </c>
    </row>
    <row r="32" spans="1:5" ht="16.5" x14ac:dyDescent="0.3">
      <c r="B32" s="97" t="s">
        <v>24</v>
      </c>
      <c r="C32" s="98">
        <f>VLOOKUP($C$29&amp;"-"&amp;B32,'Tabela Apoio - Perfil'!A:D,4,FALSE)</f>
        <v>0.3</v>
      </c>
      <c r="D32" s="99">
        <f>C32*$C$30</f>
        <v>240</v>
      </c>
    </row>
    <row r="33" spans="2:4" ht="16.5" x14ac:dyDescent="0.3">
      <c r="B33" s="97" t="s">
        <v>25</v>
      </c>
      <c r="C33" s="98">
        <f>VLOOKUP($C$29&amp;"-"&amp;B33,'Tabela Apoio - Perfil'!A:D,4,FALSE)</f>
        <v>0.5</v>
      </c>
      <c r="D33" s="99">
        <f t="shared" ref="D33:D37" si="0">C33*$C$30</f>
        <v>400</v>
      </c>
    </row>
    <row r="34" spans="2:4" ht="16.5" x14ac:dyDescent="0.3">
      <c r="B34" s="97" t="s">
        <v>26</v>
      </c>
      <c r="C34" s="98">
        <f>VLOOKUP($C$29&amp;"-"&amp;B34,'Tabela Apoio - Perfil'!A:D,4,FALSE)</f>
        <v>0.1</v>
      </c>
      <c r="D34" s="99">
        <f t="shared" si="0"/>
        <v>80</v>
      </c>
    </row>
    <row r="35" spans="2:4" ht="16.5" x14ac:dyDescent="0.3">
      <c r="B35" s="97" t="s">
        <v>27</v>
      </c>
      <c r="C35" s="98">
        <f>VLOOKUP($C$29&amp;"-"&amp;B35,'Tabela Apoio - Perfil'!A:D,4,FALSE)</f>
        <v>0.1</v>
      </c>
      <c r="D35" s="99">
        <f t="shared" si="0"/>
        <v>80</v>
      </c>
    </row>
    <row r="36" spans="2:4" ht="16.5" x14ac:dyDescent="0.3">
      <c r="B36" s="97" t="s">
        <v>28</v>
      </c>
      <c r="C36" s="98">
        <f>VLOOKUP($C$29&amp;"-"&amp;B36,'Tabela Apoio - Perfil'!A:D,4,FALSE)</f>
        <v>0</v>
      </c>
      <c r="D36" s="99">
        <f t="shared" si="0"/>
        <v>0</v>
      </c>
    </row>
    <row r="37" spans="2:4" ht="16.5" x14ac:dyDescent="0.3">
      <c r="B37" s="97" t="s">
        <v>29</v>
      </c>
      <c r="C37" s="98">
        <f>VLOOKUP($C$29&amp;"-"&amp;B37,'Tabela Apoio - Perfil'!A:D,4,FALSE)</f>
        <v>0</v>
      </c>
      <c r="D37" s="99">
        <f t="shared" si="0"/>
        <v>0</v>
      </c>
    </row>
    <row r="38" spans="2:4" ht="16.5" x14ac:dyDescent="0.3">
      <c r="B38" s="95" t="s">
        <v>34</v>
      </c>
      <c r="C38" s="100"/>
      <c r="D38" s="102">
        <f>SUM(D32:D37)</f>
        <v>800</v>
      </c>
    </row>
    <row r="39" spans="2:4" ht="10.5" customHeight="1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</sheetData>
  <sheetProtection sheet="1" objects="1" scenarios="1"/>
  <mergeCells count="11">
    <mergeCell ref="B17:C17"/>
    <mergeCell ref="B18:C18"/>
    <mergeCell ref="B19:C19"/>
    <mergeCell ref="B20:C20"/>
    <mergeCell ref="B22:C22"/>
    <mergeCell ref="B10:D10"/>
    <mergeCell ref="B11:C11"/>
    <mergeCell ref="B12:C12"/>
    <mergeCell ref="B13:C13"/>
    <mergeCell ref="B15:D15"/>
    <mergeCell ref="B16:C16"/>
  </mergeCells>
  <dataValidations count="1">
    <dataValidation type="list" allowBlank="1" showInputMessage="1" showErrorMessage="1" sqref="C29" xr:uid="{A19ED029-1784-4777-84F0-6B5E3AD5B7A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16</vt:i4>
      </vt:variant>
    </vt:vector>
  </HeadingPairs>
  <TitlesOfParts>
    <vt:vector size="21" baseType="lpstr">
      <vt:lpstr>Simulador - Patrimonio, Cenário</vt:lpstr>
      <vt:lpstr>Simulador - Variaveis Globais</vt:lpstr>
      <vt:lpstr>Simulador - Nomeando intervalos</vt:lpstr>
      <vt:lpstr>Tabela Apoio - Perfil</vt:lpstr>
      <vt:lpstr>Simulador APP Perfil Investidor</vt:lpstr>
      <vt:lpstr>'Simulador APP Perfil Investidor'!Aporte</vt:lpstr>
      <vt:lpstr>Aporte</vt:lpstr>
      <vt:lpstr>'Simulador APP Perfil Investidor'!Dividendos_Mensais</vt:lpstr>
      <vt:lpstr>Dividendos_Mensais</vt:lpstr>
      <vt:lpstr>'Simulador APP Perfil Investidor'!Patrimonio</vt:lpstr>
      <vt:lpstr>Patrimonio</vt:lpstr>
      <vt:lpstr>'Simulador APP Perfil Investidor'!Qtd_Anos</vt:lpstr>
      <vt:lpstr>Qtd_Anos</vt:lpstr>
      <vt:lpstr>'Simulador APP Perfil Investidor'!Rendimento_Carteira</vt:lpstr>
      <vt:lpstr>Rendimento_Carteira</vt:lpstr>
      <vt:lpstr>'Simulador APP Perfil Investidor'!Salario</vt:lpstr>
      <vt:lpstr>Salario</vt:lpstr>
      <vt:lpstr>'Simulador APP Perfil Investidor'!Sugestao_Investimento</vt:lpstr>
      <vt:lpstr>Sugestao_Investimento</vt:lpstr>
      <vt:lpstr>'Simulador APP Perfil Investidor'!Taxa_Mensal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CRISTINA DE OLIVEIRA SILVA</dc:creator>
  <cp:lastModifiedBy>DAISY CRISTINA DE OLIVEIRA SILVA</cp:lastModifiedBy>
  <dcterms:created xsi:type="dcterms:W3CDTF">2026-10-16T19:45:49Z</dcterms:created>
  <dcterms:modified xsi:type="dcterms:W3CDTF">2026-10-16T22:22:07Z</dcterms:modified>
</cp:coreProperties>
</file>